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44ce6c7be42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f8f3f7e0d04624a79f12c06e098a31.psmdcp" Id="R27309382ceab4d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ésultats" sheetId="2" r:id="rId2"/>
  </x:sheets>
  <x:definedNames/>
  <x:calcPr calcId="125725"/>
</x:workbook>
</file>

<file path=xl/calcChain.xml><?xml version="1.0" encoding="utf-8"?>
<x:calcChain xmlns:x="http://schemas.openxmlformats.org/spreadsheetml/2006/main">
  <x:c r="A7" i="2"/>
  <x:c r="B7" i="2"/>
  <x:c r="C7" i="2"/>
  <x:c r="D7" i="2"/>
  <x:c r="A8" i="2"/>
  <x:c r="B8" i="2"/>
  <x:c r="C8" i="2"/>
  <x:c r="D8" i="2"/>
  <x:c r="A9" i="2"/>
  <x:c r="B9" i="2"/>
  <x:c r="C9" i="2"/>
  <x:c r="D9" i="2"/>
  <x:c r="A10" i="2"/>
  <x:c r="B10" i="2"/>
  <x:c r="C10" i="2"/>
  <x:c r="D10" i="2"/>
  <x:c r="A11" i="2"/>
  <x:c r="B11" i="2"/>
  <x:c r="C11" i="2"/>
  <x:c r="D11" i="2"/>
  <x:c r="A12" i="2"/>
  <x:c r="B12" i="2"/>
  <x:c r="C12" i="2"/>
  <x:c r="D12" i="2"/>
  <x:c r="A13" i="2"/>
  <x:c r="B13" i="2"/>
  <x:c r="C13" i="2"/>
  <x:c r="D13" i="2"/>
  <x:c r="A14" i="2"/>
  <x:c r="B14" i="2"/>
  <x:c r="C14" i="2"/>
  <x:c r="D14" i="2"/>
  <x:c r="A15" i="2"/>
  <x:c r="B15" i="2"/>
  <x:c r="C15" i="2"/>
  <x:c r="D15" i="2"/>
  <x:c r="A16" i="2"/>
  <x:c r="B16" i="2"/>
  <x:c r="C16" i="2"/>
  <x:c r="D16" i="2"/>
  <x:c r="A17" i="2"/>
  <x:c r="B17" i="2"/>
  <x:c r="C17" i="2"/>
  <x:c r="D17" i="2"/>
  <x:c r="A18" i="2"/>
  <x:c r="B18" i="2"/>
  <x:c r="C18" i="2"/>
  <x:c r="D18" i="2"/>
  <x:c r="A19" i="2"/>
  <x:c r="B19" i="2"/>
  <x:c r="C19" i="2"/>
  <x:c r="D19" i="2"/>
  <x:c r="A20" i="2"/>
  <x:c r="B20" i="2"/>
  <x:c r="C20" i="2"/>
  <x:c r="D20" i="2"/>
  <x:c r="A21" i="2"/>
  <x:c r="B21" i="2"/>
  <x:c r="C21" i="2"/>
  <x:c r="D21" i="2"/>
  <x:c r="A22" i="2"/>
  <x:c r="B22" i="2"/>
  <x:c r="C22" i="2"/>
  <x:c r="D22" i="2"/>
  <x:c r="A23" i="2"/>
  <x:c r="B23" i="2"/>
  <x:c r="C23" i="2"/>
  <x:c r="D23" i="2"/>
  <x:c r="A24" i="2"/>
  <x:c r="B24" i="2"/>
  <x:c r="C24" i="2"/>
  <x:c r="D24" i="2"/>
  <x:c r="A25" i="2"/>
  <x:c r="B25" i="2"/>
  <x:c r="C25" i="2"/>
  <x:c r="D25" i="2"/>
  <x:c r="A26" i="2"/>
  <x:c r="B26" i="2"/>
  <x:c r="C26" i="2"/>
  <x:c r="D26" i="2"/>
  <x:c r="A27" i="2"/>
  <x:c r="B27" i="2"/>
  <x:c r="C27" i="2"/>
  <x:c r="D27" i="2"/>
  <x:c r="A28" i="2"/>
  <x:c r="B28" i="2"/>
  <x:c r="C28" i="2"/>
  <x:c r="D28" i="2"/>
  <x:c r="A29" i="2"/>
  <x:c r="B29" i="2"/>
  <x:c r="C29" i="2"/>
  <x:c r="D29" i="2"/>
  <x:c r="A30" i="2"/>
  <x:c r="B30" i="2"/>
  <x:c r="C30" i="2"/>
  <x:c r="D30" i="2"/>
  <x:c r="A31" i="2"/>
  <x:c r="B31" i="2"/>
  <x:c r="C31" i="2"/>
  <x:c r="D31" i="2"/>
  <x:c r="A32" i="2"/>
  <x:c r="B32" i="2"/>
  <x:c r="C32" i="2"/>
  <x:c r="D32" i="2"/>
  <x:c r="A33" i="2"/>
  <x:c r="B33" i="2"/>
  <x:c r="C33" i="2"/>
  <x:c r="D33" i="2"/>
  <x:c r="A34" i="2"/>
  <x:c r="B34" i="2"/>
  <x:c r="C34" i="2"/>
  <x:c r="D34" i="2"/>
  <x:c r="A35" i="2"/>
  <x:c r="B35" i="2"/>
  <x:c r="C35" i="2"/>
  <x:c r="D35" i="2"/>
  <x:c r="A36" i="2"/>
  <x:c r="B36" i="2"/>
  <x:c r="C36" i="2"/>
  <x:c r="D36" i="2"/>
  <x:c r="F40" i="2"/>
  <x:c r="G40" i="2"/>
  <x:c r="F41" i="2"/>
  <x:c r="G41" i="2"/>
  <x:c r="F42" i="2"/>
  <x:c r="G42" i="2"/>
  <x:c r="F43" i="2"/>
  <x:c r="G43" i="2"/>
  <x:c r="F44" i="2"/>
  <x:c r="G44" i="2"/>
  <x:c r="F45" i="2"/>
  <x:c r="G45" i="2"/>
  <x:c r="F46" i="2"/>
  <x:c r="G46" i="2"/>
  <x:c r="F47" i="2"/>
  <x:c r="G47" i="2"/>
  <x:c r="F48" i="2"/>
  <x:c r="G48" i="2"/>
  <x:c r="F49" i="2"/>
  <x:c r="G49" i="2"/>
  <x:c r="F50" i="2"/>
  <x:c r="G50" i="2"/>
  <x:c r="F51" i="2"/>
  <x:c r="G51" i="2"/>
  <x:c r="F52" i="2"/>
  <x:c r="G52" i="2"/>
  <x:c r="F53" i="2"/>
  <x:c r="G53" i="2"/>
  <x:c r="F54" i="2"/>
  <x:c r="G54" i="2"/>
</x:calcChain>
</file>

<file path=xl/sharedStrings.xml><?xml version="1.0" encoding="utf-8"?>
<x:sst xmlns:x="http://schemas.openxmlformats.org/spreadsheetml/2006/main">
  <x:si>
    <x:t>U15-Qualif-1</x:t>
  </x:si>
  <x:si>
    <x:t>01/06/2026</x:t>
  </x:si>
  <x:si>
    <x:t>11:06 → 11:29</x:t>
  </x:si>
  <x:si>
    <x:t>Durée : 23:00</x:t>
  </x:si>
  <x:si>
    <x:t>Pilotes : 5</x:t>
  </x:si>
  <x:si>
    <x:t>CLASSEMENT</x:t>
  </x:si>
  <x:si>
    <x:t>POSITION</x:t>
  </x:si>
  <x:si>
    <x:t>NUMÉRO PILOTE</x:t>
  </x:si>
  <x:si>
    <x:t>TOURS</x:t>
  </x:si>
  <x:si>
    <x:t>DERNIER PASSAGE</x:t>
  </x:si>
  <x:si>
    <x:t>HISTORIQUE</x:t>
  </x:si>
  <x:si>
    <x:t>HEURE</x:t>
  </x:si>
  <x:si>
    <x:t>TOUR</x:t>
  </x:si>
  <x:si>
    <x:t>TEMPS AU TOUR</x:t>
  </x:si>
  <x:si>
    <x:t>SCORE</x:t>
  </x:si>
  <x:si>
    <x:t>DERNIERE BOUCLE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</x:si>
</x:sst>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HH:mm:ss"/>
    <x:numFmt numFmtId="165" formatCode="[mm]:ss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1E293B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1E293B"/>
      </x:patternFill>
    </x:fill>
    <x:fill>
      <x:patternFill patternType="solid">
        <x:fgColor rgb="FFFFD700"/>
      </x:patternFill>
    </x:fill>
    <x:fill>
      <x:patternFill patternType="solid">
        <x:fgColor rgb="FFC0C0C0"/>
      </x:patternFill>
    </x:fill>
    <x:fill>
      <x:patternFill patternType="solid">
        <x:fgColor rgb="FFCD7F32"/>
      </x:patternFill>
    </x:fill>
    <x:fill>
      <x:patternFill patternType="solid">
        <x:fgColor rgb="FFF1F5F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164" fontId="3" fillId="4" borderId="0" applyNumberFormat="1" applyFill="0" applyBorder="0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  <x:xf numFmtId="164" fontId="3" fillId="5" borderId="0" applyNumberFormat="1" applyFill="0" applyBorder="0" applyAlignment="1" applyProtection="1">
      <x:protection locked="1" hidden="0"/>
    </x:xf>
    <x:xf numFmtId="0" fontId="3" fillId="6" borderId="0" applyNumberFormat="1" applyFill="0" applyBorder="0" applyAlignment="1" applyProtection="1">
      <x:protection locked="1" hidden="0"/>
    </x:xf>
    <x:xf numFmtId="164" fontId="3" fillId="6" borderId="0" applyNumberFormat="1" applyFill="0" applyBorder="0" applyAlignment="1" applyProtection="1">
      <x:protection locked="1" hidden="0"/>
    </x:xf>
    <x:xf numFmtId="0" fontId="0" fillId="7" borderId="0" applyNumberFormat="1" applyFill="0" applyBorder="0" applyAlignment="1" applyProtection="1">
      <x:protection locked="1" hidden="0"/>
    </x:xf>
    <x:xf numFmtId="164" fontId="0" fillId="7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7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4"/>
  <x:sheetViews>
    <x:sheetView workbookViewId="0"/>
  </x:sheetViews>
  <x:sheetFormatPr defaultRowHeight="15"/>
  <x:cols>
    <x:col min="1" max="1" width="18.710625" style="0" customWidth="1"/>
    <x:col min="2" max="2" width="12.710625" style="0" customWidth="1"/>
    <x:col min="3" max="3" width="8.710625" style="0" customWidth="1"/>
    <x:col min="4" max="4" width="12.710625" style="0" customWidth="1"/>
    <x:col min="5" max="5" width="16.710625" style="0" customWidth="1"/>
    <x:col min="6" max="6" width="12.710625" style="0" customWidth="1"/>
    <x:col min="7" max="7" width="15.710625" style="0" customWidth="1"/>
  </x:cols>
  <x:sheetData>
    <x:row r="1" spans="1:7">
      <x:c r="A1" s="1" t="s">
        <x:v>0</x:v>
      </x:c>
      <x:c r="B1" s="1"/>
      <x:c r="C1" s="1"/>
      <x:c r="D1" s="1"/>
      <x:c r="E1" s="1"/>
    </x:row>
    <x:row r="2" spans="1:7">
      <x:c r="A2" s="0" t="s">
        <x:v>1</x:v>
      </x:c>
      <x:c r="B2" s="0" t="s">
        <x:v>2</x:v>
      </x:c>
    </x:row>
    <x:row r="3" spans="1:7">
      <x:c r="A3" s="0" t="s">
        <x:v>3</x:v>
      </x:c>
      <x:c r="B3" s="0" t="s">
        <x:v>4</x:v>
      </x:c>
    </x:row>
    <x:row r="5" spans="1:7">
      <x:c r="A5" s="2" t="s">
        <x:v>5</x:v>
      </x:c>
    </x:row>
    <x:row r="6" spans="1:7">
      <x:c r="A6" s="3" t="s">
        <x:v>6</x:v>
      </x:c>
      <x:c r="B6" s="3" t="s">
        <x:v>7</x:v>
      </x:c>
      <x:c r="C6" s="3" t="s">
        <x:v>8</x:v>
      </x:c>
      <x:c r="D6" s="3" t="s">
        <x:v>9</x:v>
      </x:c>
    </x:row>
    <x:row r="7" spans="1:7">
      <x:c r="A7" s="4">
        <x:f>IF(B7="","",1)</x:f>
      </x:c>
      <x:c r="B7" s="4">
        <x:f>IFERROR(SUMPRODUCT(($F$40:$F$54=LARGE($F$40:$F$54,1))*$A$40:$A$54),"")</x:f>
      </x:c>
      <x:c r="C7" s="4">
        <x:f>IF(B7="","",IFERROR(SUMPRODUCT(MAX(($A$40:$A$54=B7)*$C$40:$C$54)),0))</x:f>
      </x:c>
      <x:c r="D7" s="5">
        <x:f>IF(B7="","",SUMPRODUCT(($A$40:$A$54=B7)*ISNUMBER($F$40:$F$54)*($C$40:$C$54=C7)*$B$40:$B$54))</x:f>
      </x:c>
    </x:row>
    <x:row r="8" spans="1:7">
      <x:c r="A8" s="6">
        <x:f>IF(B8="","",2)</x:f>
      </x:c>
      <x:c r="B8" s="6">
        <x:f>IFERROR(SUMPRODUCT(($F$40:$F$54=LARGE($F$40:$F$54,2))*$A$40:$A$54),"")</x:f>
      </x:c>
      <x:c r="C8" s="6">
        <x:f>IF(B8="","",IFERROR(SUMPRODUCT(MAX(($A$40:$A$54=B8)*$C$40:$C$54)),0))</x:f>
      </x:c>
      <x:c r="D8" s="7">
        <x:f>IF(B8="","",SUMPRODUCT(($A$40:$A$54=B8)*ISNUMBER($F$40:$F$54)*($C$40:$C$54=C8)*$B$40:$B$54))</x:f>
      </x:c>
    </x:row>
    <x:row r="9" spans="1:7">
      <x:c r="A9" s="8">
        <x:f>IF(B9="","",3)</x:f>
      </x:c>
      <x:c r="B9" s="8">
        <x:f>IFERROR(SUMPRODUCT(($F$40:$F$54=LARGE($F$40:$F$54,3))*$A$40:$A$54),"")</x:f>
      </x:c>
      <x:c r="C9" s="8">
        <x:f>IF(B9="","",IFERROR(SUMPRODUCT(MAX(($A$40:$A$54=B9)*$C$40:$C$54)),0))</x:f>
      </x:c>
      <x:c r="D9" s="9">
        <x:f>IF(B9="","",SUMPRODUCT(($A$40:$A$54=B9)*ISNUMBER($F$40:$F$54)*($C$40:$C$54=C9)*$B$40:$B$54))</x:f>
      </x:c>
    </x:row>
    <x:row r="10" spans="1:7">
      <x:c r="A10" s="10">
        <x:f>IF(B10="","",4)</x:f>
      </x:c>
      <x:c r="B10" s="10">
        <x:f>IFERROR(SUMPRODUCT(($F$40:$F$54=LARGE($F$40:$F$54,4))*$A$40:$A$54),"")</x:f>
      </x:c>
      <x:c r="C10" s="10">
        <x:f>IF(B10="","",IFERROR(SUMPRODUCT(MAX(($A$40:$A$54=B10)*$C$40:$C$54)),0))</x:f>
      </x:c>
      <x:c r="D10" s="11">
        <x:f>IF(B10="","",SUMPRODUCT(($A$40:$A$54=B10)*ISNUMBER($F$40:$F$54)*($C$40:$C$54=C10)*$B$40:$B$54))</x:f>
      </x:c>
    </x:row>
    <x:row r="11" spans="1:7">
      <x:c r="A11" s="0">
        <x:f>IF(B11="","",5)</x:f>
      </x:c>
      <x:c r="B11" s="0">
        <x:f>IFERROR(SUMPRODUCT(($F$40:$F$54=LARGE($F$40:$F$54,5))*$A$40:$A$54),"")</x:f>
      </x:c>
      <x:c r="C11" s="0">
        <x:f>IF(B11="","",IFERROR(SUMPRODUCT(MAX(($A$40:$A$54=B11)*$C$40:$C$54)),0))</x:f>
      </x:c>
      <x:c r="D11" s="12">
        <x:f>IF(B11="","",SUMPRODUCT(($A$40:$A$54=B11)*ISNUMBER($F$40:$F$54)*($C$40:$C$54=C11)*$B$40:$B$54))</x:f>
      </x:c>
    </x:row>
    <x:row r="12" spans="1:7">
      <x:c r="A12" s="10">
        <x:f>IF(B12="","",6)</x:f>
      </x:c>
      <x:c r="B12" s="10">
        <x:f>IFERROR(SUMPRODUCT(($F$40:$F$54=LARGE($F$40:$F$54,6))*$A$40:$A$54),"")</x:f>
      </x:c>
      <x:c r="C12" s="10">
        <x:f>IF(B12="","",IFERROR(SUMPRODUCT(MAX(($A$40:$A$54=B12)*$C$40:$C$54)),0))</x:f>
      </x:c>
      <x:c r="D12" s="11">
        <x:f>IF(B12="","",SUMPRODUCT(($A$40:$A$54=B12)*ISNUMBER($F$40:$F$54)*($C$40:$C$54=C12)*$B$40:$B$54))</x:f>
      </x:c>
    </x:row>
    <x:row r="13" spans="1:7">
      <x:c r="A13" s="0">
        <x:f>IF(B13="","",7)</x:f>
      </x:c>
      <x:c r="B13" s="0">
        <x:f>IFERROR(SUMPRODUCT(($F$40:$F$54=LARGE($F$40:$F$54,7))*$A$40:$A$54),"")</x:f>
      </x:c>
      <x:c r="C13" s="0">
        <x:f>IF(B13="","",IFERROR(SUMPRODUCT(MAX(($A$40:$A$54=B13)*$C$40:$C$54)),0))</x:f>
      </x:c>
      <x:c r="D13" s="12">
        <x:f>IF(B13="","",SUMPRODUCT(($A$40:$A$54=B13)*ISNUMBER($F$40:$F$54)*($C$40:$C$54=C13)*$B$40:$B$54))</x:f>
      </x:c>
    </x:row>
    <x:row r="14" spans="1:7">
      <x:c r="A14" s="10">
        <x:f>IF(B14="","",8)</x:f>
      </x:c>
      <x:c r="B14" s="10">
        <x:f>IFERROR(SUMPRODUCT(($F$40:$F$54=LARGE($F$40:$F$54,8))*$A$40:$A$54),"")</x:f>
      </x:c>
      <x:c r="C14" s="10">
        <x:f>IF(B14="","",IFERROR(SUMPRODUCT(MAX(($A$40:$A$54=B14)*$C$40:$C$54)),0))</x:f>
      </x:c>
      <x:c r="D14" s="11">
        <x:f>IF(B14="","",SUMPRODUCT(($A$40:$A$54=B14)*ISNUMBER($F$40:$F$54)*($C$40:$C$54=C14)*$B$40:$B$54))</x:f>
      </x:c>
    </x:row>
    <x:row r="15" spans="1:7">
      <x:c r="A15" s="0">
        <x:f>IF(B15="","",9)</x:f>
      </x:c>
      <x:c r="B15" s="0">
        <x:f>IFERROR(SUMPRODUCT(($F$40:$F$54=LARGE($F$40:$F$54,9))*$A$40:$A$54),"")</x:f>
      </x:c>
      <x:c r="C15" s="0">
        <x:f>IF(B15="","",IFERROR(SUMPRODUCT(MAX(($A$40:$A$54=B15)*$C$40:$C$54)),0))</x:f>
      </x:c>
      <x:c r="D15" s="12">
        <x:f>IF(B15="","",SUMPRODUCT(($A$40:$A$54=B15)*ISNUMBER($F$40:$F$54)*($C$40:$C$54=C15)*$B$40:$B$54))</x:f>
      </x:c>
    </x:row>
    <x:row r="16" spans="1:7">
      <x:c r="A16" s="10">
        <x:f>IF(B16="","",10)</x:f>
      </x:c>
      <x:c r="B16" s="10">
        <x:f>IFERROR(SUMPRODUCT(($F$40:$F$54=LARGE($F$40:$F$54,10))*$A$40:$A$54),"")</x:f>
      </x:c>
      <x:c r="C16" s="10">
        <x:f>IF(B16="","",IFERROR(SUMPRODUCT(MAX(($A$40:$A$54=B16)*$C$40:$C$54)),0))</x:f>
      </x:c>
      <x:c r="D16" s="11">
        <x:f>IF(B16="","",SUMPRODUCT(($A$40:$A$54=B16)*ISNUMBER($F$40:$F$54)*($C$40:$C$54=C16)*$B$40:$B$54))</x:f>
      </x:c>
    </x:row>
    <x:row r="17" spans="1:7">
      <x:c r="A17" s="0">
        <x:f>IF(B17="","",11)</x:f>
      </x:c>
      <x:c r="B17" s="0">
        <x:f>IFERROR(SUMPRODUCT(($F$40:$F$54=LARGE($F$40:$F$54,11))*$A$40:$A$54),"")</x:f>
      </x:c>
      <x:c r="C17" s="0">
        <x:f>IF(B17="","",IFERROR(SUMPRODUCT(MAX(($A$40:$A$54=B17)*$C$40:$C$54)),0))</x:f>
      </x:c>
      <x:c r="D17" s="12">
        <x:f>IF(B17="","",SUMPRODUCT(($A$40:$A$54=B17)*ISNUMBER($F$40:$F$54)*($C$40:$C$54=C17)*$B$40:$B$54))</x:f>
      </x:c>
    </x:row>
    <x:row r="18" spans="1:7">
      <x:c r="A18" s="10">
        <x:f>IF(B18="","",12)</x:f>
      </x:c>
      <x:c r="B18" s="10">
        <x:f>IFERROR(SUMPRODUCT(($F$40:$F$54=LARGE($F$40:$F$54,12))*$A$40:$A$54),"")</x:f>
      </x:c>
      <x:c r="C18" s="10">
        <x:f>IF(B18="","",IFERROR(SUMPRODUCT(MAX(($A$40:$A$54=B18)*$C$40:$C$54)),0))</x:f>
      </x:c>
      <x:c r="D18" s="11">
        <x:f>IF(B18="","",SUMPRODUCT(($A$40:$A$54=B18)*ISNUMBER($F$40:$F$54)*($C$40:$C$54=C18)*$B$40:$B$54))</x:f>
      </x:c>
    </x:row>
    <x:row r="19" spans="1:7">
      <x:c r="A19" s="0">
        <x:f>IF(B19="","",13)</x:f>
      </x:c>
      <x:c r="B19" s="0">
        <x:f>IFERROR(SUMPRODUCT(($F$40:$F$54=LARGE($F$40:$F$54,13))*$A$40:$A$54),"")</x:f>
      </x:c>
      <x:c r="C19" s="0">
        <x:f>IF(B19="","",IFERROR(SUMPRODUCT(MAX(($A$40:$A$54=B19)*$C$40:$C$54)),0))</x:f>
      </x:c>
      <x:c r="D19" s="12">
        <x:f>IF(B19="","",SUMPRODUCT(($A$40:$A$54=B19)*ISNUMBER($F$40:$F$54)*($C$40:$C$54=C19)*$B$40:$B$54))</x:f>
      </x:c>
    </x:row>
    <x:row r="20" spans="1:7">
      <x:c r="A20" s="10">
        <x:f>IF(B20="","",14)</x:f>
      </x:c>
      <x:c r="B20" s="10">
        <x:f>IFERROR(SUMPRODUCT(($F$40:$F$54=LARGE($F$40:$F$54,14))*$A$40:$A$54),"")</x:f>
      </x:c>
      <x:c r="C20" s="10">
        <x:f>IF(B20="","",IFERROR(SUMPRODUCT(MAX(($A$40:$A$54=B20)*$C$40:$C$54)),0))</x:f>
      </x:c>
      <x:c r="D20" s="11">
        <x:f>IF(B20="","",SUMPRODUCT(($A$40:$A$54=B20)*ISNUMBER($F$40:$F$54)*($C$40:$C$54=C20)*$B$40:$B$54))</x:f>
      </x:c>
    </x:row>
    <x:row r="21" spans="1:7">
      <x:c r="A21" s="0">
        <x:f>IF(B21="","",15)</x:f>
      </x:c>
      <x:c r="B21" s="0">
        <x:f>IFERROR(SUMPRODUCT(($F$40:$F$54=LARGE($F$40:$F$54,15))*$A$40:$A$54),"")</x:f>
      </x:c>
      <x:c r="C21" s="0">
        <x:f>IF(B21="","",IFERROR(SUMPRODUCT(MAX(($A$40:$A$54=B21)*$C$40:$C$54)),0))</x:f>
      </x:c>
      <x:c r="D21" s="12">
        <x:f>IF(B21="","",SUMPRODUCT(($A$40:$A$54=B21)*ISNUMBER($F$40:$F$54)*($C$40:$C$54=C21)*$B$40:$B$54))</x:f>
      </x:c>
    </x:row>
    <x:row r="22" spans="1:7">
      <x:c r="A22" s="10">
        <x:f>IF(B22="","",16)</x:f>
      </x:c>
      <x:c r="B22" s="10">
        <x:f>IFERROR(SUMPRODUCT(($F$40:$F$54=LARGE($F$40:$F$54,16))*$A$40:$A$54),"")</x:f>
      </x:c>
      <x:c r="C22" s="10">
        <x:f>IF(B22="","",IFERROR(SUMPRODUCT(MAX(($A$40:$A$54=B22)*$C$40:$C$54)),0))</x:f>
      </x:c>
      <x:c r="D22" s="11">
        <x:f>IF(B22="","",SUMPRODUCT(($A$40:$A$54=B22)*ISNUMBER($F$40:$F$54)*($C$40:$C$54=C22)*$B$40:$B$54))</x:f>
      </x:c>
    </x:row>
    <x:row r="23" spans="1:7">
      <x:c r="A23" s="0">
        <x:f>IF(B23="","",17)</x:f>
      </x:c>
      <x:c r="B23" s="0">
        <x:f>IFERROR(SUMPRODUCT(($F$40:$F$54=LARGE($F$40:$F$54,17))*$A$40:$A$54),"")</x:f>
      </x:c>
      <x:c r="C23" s="0">
        <x:f>IF(B23="","",IFERROR(SUMPRODUCT(MAX(($A$40:$A$54=B23)*$C$40:$C$54)),0))</x:f>
      </x:c>
      <x:c r="D23" s="12">
        <x:f>IF(B23="","",SUMPRODUCT(($A$40:$A$54=B23)*ISNUMBER($F$40:$F$54)*($C$40:$C$54=C23)*$B$40:$B$54))</x:f>
      </x:c>
    </x:row>
    <x:row r="24" spans="1:7">
      <x:c r="A24" s="10">
        <x:f>IF(B24="","",18)</x:f>
      </x:c>
      <x:c r="B24" s="10">
        <x:f>IFERROR(SUMPRODUCT(($F$40:$F$54=LARGE($F$40:$F$54,18))*$A$40:$A$54),"")</x:f>
      </x:c>
      <x:c r="C24" s="10">
        <x:f>IF(B24="","",IFERROR(SUMPRODUCT(MAX(($A$40:$A$54=B24)*$C$40:$C$54)),0))</x:f>
      </x:c>
      <x:c r="D24" s="11">
        <x:f>IF(B24="","",SUMPRODUCT(($A$40:$A$54=B24)*ISNUMBER($F$40:$F$54)*($C$40:$C$54=C24)*$B$40:$B$54))</x:f>
      </x:c>
    </x:row>
    <x:row r="25" spans="1:7">
      <x:c r="A25" s="0">
        <x:f>IF(B25="","",19)</x:f>
      </x:c>
      <x:c r="B25" s="0">
        <x:f>IFERROR(SUMPRODUCT(($F$40:$F$54=LARGE($F$40:$F$54,19))*$A$40:$A$54),"")</x:f>
      </x:c>
      <x:c r="C25" s="0">
        <x:f>IF(B25="","",IFERROR(SUMPRODUCT(MAX(($A$40:$A$54=B25)*$C$40:$C$54)),0))</x:f>
      </x:c>
      <x:c r="D25" s="12">
        <x:f>IF(B25="","",SUMPRODUCT(($A$40:$A$54=B25)*ISNUMBER($F$40:$F$54)*($C$40:$C$54=C25)*$B$40:$B$54))</x:f>
      </x:c>
    </x:row>
    <x:row r="26" spans="1:7">
      <x:c r="A26" s="10">
        <x:f>IF(B26="","",20)</x:f>
      </x:c>
      <x:c r="B26" s="10">
        <x:f>IFERROR(SUMPRODUCT(($F$40:$F$54=LARGE($F$40:$F$54,20))*$A$40:$A$54),"")</x:f>
      </x:c>
      <x:c r="C26" s="10">
        <x:f>IF(B26="","",IFERROR(SUMPRODUCT(MAX(($A$40:$A$54=B26)*$C$40:$C$54)),0))</x:f>
      </x:c>
      <x:c r="D26" s="11">
        <x:f>IF(B26="","",SUMPRODUCT(($A$40:$A$54=B26)*ISNUMBER($F$40:$F$54)*($C$40:$C$54=C26)*$B$40:$B$54))</x:f>
      </x:c>
    </x:row>
    <x:row r="27" spans="1:7">
      <x:c r="A27" s="0">
        <x:f>IF(B27="","",21)</x:f>
      </x:c>
      <x:c r="B27" s="0">
        <x:f>IFERROR(SUMPRODUCT(($F$40:$F$54=LARGE($F$40:$F$54,21))*$A$40:$A$54),"")</x:f>
      </x:c>
      <x:c r="C27" s="0">
        <x:f>IF(B27="","",IFERROR(SUMPRODUCT(MAX(($A$40:$A$54=B27)*$C$40:$C$54)),0))</x:f>
      </x:c>
      <x:c r="D27" s="12">
        <x:f>IF(B27="","",SUMPRODUCT(($A$40:$A$54=B27)*ISNUMBER($F$40:$F$54)*($C$40:$C$54=C27)*$B$40:$B$54))</x:f>
      </x:c>
    </x:row>
    <x:row r="28" spans="1:7">
      <x:c r="A28" s="10">
        <x:f>IF(B28="","",22)</x:f>
      </x:c>
      <x:c r="B28" s="10">
        <x:f>IFERROR(SUMPRODUCT(($F$40:$F$54=LARGE($F$40:$F$54,22))*$A$40:$A$54),"")</x:f>
      </x:c>
      <x:c r="C28" s="10">
        <x:f>IF(B28="","",IFERROR(SUMPRODUCT(MAX(($A$40:$A$54=B28)*$C$40:$C$54)),0))</x:f>
      </x:c>
      <x:c r="D28" s="11">
        <x:f>IF(B28="","",SUMPRODUCT(($A$40:$A$54=B28)*ISNUMBER($F$40:$F$54)*($C$40:$C$54=C28)*$B$40:$B$54))</x:f>
      </x:c>
    </x:row>
    <x:row r="29" spans="1:7">
      <x:c r="A29" s="0">
        <x:f>IF(B29="","",23)</x:f>
      </x:c>
      <x:c r="B29" s="0">
        <x:f>IFERROR(SUMPRODUCT(($F$40:$F$54=LARGE($F$40:$F$54,23))*$A$40:$A$54),"")</x:f>
      </x:c>
      <x:c r="C29" s="0">
        <x:f>IF(B29="","",IFERROR(SUMPRODUCT(MAX(($A$40:$A$54=B29)*$C$40:$C$54)),0))</x:f>
      </x:c>
      <x:c r="D29" s="12">
        <x:f>IF(B29="","",SUMPRODUCT(($A$40:$A$54=B29)*ISNUMBER($F$40:$F$54)*($C$40:$C$54=C29)*$B$40:$B$54))</x:f>
      </x:c>
    </x:row>
    <x:row r="30" spans="1:7">
      <x:c r="A30" s="10">
        <x:f>IF(B30="","",24)</x:f>
      </x:c>
      <x:c r="B30" s="10">
        <x:f>IFERROR(SUMPRODUCT(($F$40:$F$54=LARGE($F$40:$F$54,24))*$A$40:$A$54),"")</x:f>
      </x:c>
      <x:c r="C30" s="10">
        <x:f>IF(B30="","",IFERROR(SUMPRODUCT(MAX(($A$40:$A$54=B30)*$C$40:$C$54)),0))</x:f>
      </x:c>
      <x:c r="D30" s="11">
        <x:f>IF(B30="","",SUMPRODUCT(($A$40:$A$54=B30)*ISNUMBER($F$40:$F$54)*($C$40:$C$54=C30)*$B$40:$B$54))</x:f>
      </x:c>
    </x:row>
    <x:row r="31" spans="1:7">
      <x:c r="A31" s="0">
        <x:f>IF(B31="","",25)</x:f>
      </x:c>
      <x:c r="B31" s="0">
        <x:f>IFERROR(SUMPRODUCT(($F$40:$F$54=LARGE($F$40:$F$54,25))*$A$40:$A$54),"")</x:f>
      </x:c>
      <x:c r="C31" s="0">
        <x:f>IF(B31="","",IFERROR(SUMPRODUCT(MAX(($A$40:$A$54=B31)*$C$40:$C$54)),0))</x:f>
      </x:c>
      <x:c r="D31" s="12">
        <x:f>IF(B31="","",SUMPRODUCT(($A$40:$A$54=B31)*ISNUMBER($F$40:$F$54)*($C$40:$C$54=C31)*$B$40:$B$54))</x:f>
      </x:c>
    </x:row>
    <x:row r="32" spans="1:7">
      <x:c r="A32" s="10">
        <x:f>IF(B32="","",26)</x:f>
      </x:c>
      <x:c r="B32" s="10">
        <x:f>IFERROR(SUMPRODUCT(($F$40:$F$54=LARGE($F$40:$F$54,26))*$A$40:$A$54),"")</x:f>
      </x:c>
      <x:c r="C32" s="10">
        <x:f>IF(B32="","",IFERROR(SUMPRODUCT(MAX(($A$40:$A$54=B32)*$C$40:$C$54)),0))</x:f>
      </x:c>
      <x:c r="D32" s="11">
        <x:f>IF(B32="","",SUMPRODUCT(($A$40:$A$54=B32)*ISNUMBER($F$40:$F$54)*($C$40:$C$54=C32)*$B$40:$B$54))</x:f>
      </x:c>
    </x:row>
    <x:row r="33" spans="1:7">
      <x:c r="A33" s="0">
        <x:f>IF(B33="","",27)</x:f>
      </x:c>
      <x:c r="B33" s="0">
        <x:f>IFERROR(SUMPRODUCT(($F$40:$F$54=LARGE($F$40:$F$54,27))*$A$40:$A$54),"")</x:f>
      </x:c>
      <x:c r="C33" s="0">
        <x:f>IF(B33="","",IFERROR(SUMPRODUCT(MAX(($A$40:$A$54=B33)*$C$40:$C$54)),0))</x:f>
      </x:c>
      <x:c r="D33" s="12">
        <x:f>IF(B33="","",SUMPRODUCT(($A$40:$A$54=B33)*ISNUMBER($F$40:$F$54)*($C$40:$C$54=C33)*$B$40:$B$54))</x:f>
      </x:c>
    </x:row>
    <x:row r="34" spans="1:7">
      <x:c r="A34" s="10">
        <x:f>IF(B34="","",28)</x:f>
      </x:c>
      <x:c r="B34" s="10">
        <x:f>IFERROR(SUMPRODUCT(($F$40:$F$54=LARGE($F$40:$F$54,28))*$A$40:$A$54),"")</x:f>
      </x:c>
      <x:c r="C34" s="10">
        <x:f>IF(B34="","",IFERROR(SUMPRODUCT(MAX(($A$40:$A$54=B34)*$C$40:$C$54)),0))</x:f>
      </x:c>
      <x:c r="D34" s="11">
        <x:f>IF(B34="","",SUMPRODUCT(($A$40:$A$54=B34)*ISNUMBER($F$40:$F$54)*($C$40:$C$54=C34)*$B$40:$B$54))</x:f>
      </x:c>
    </x:row>
    <x:row r="35" spans="1:7">
      <x:c r="A35" s="0">
        <x:f>IF(B35="","",29)</x:f>
      </x:c>
      <x:c r="B35" s="0">
        <x:f>IFERROR(SUMPRODUCT(($F$40:$F$54=LARGE($F$40:$F$54,29))*$A$40:$A$54),"")</x:f>
      </x:c>
      <x:c r="C35" s="0">
        <x:f>IF(B35="","",IFERROR(SUMPRODUCT(MAX(($A$40:$A$54=B35)*$C$40:$C$54)),0))</x:f>
      </x:c>
      <x:c r="D35" s="12">
        <x:f>IF(B35="","",SUMPRODUCT(($A$40:$A$54=B35)*ISNUMBER($F$40:$F$54)*($C$40:$C$54=C35)*$B$40:$B$54))</x:f>
      </x:c>
    </x:row>
    <x:row r="36" spans="1:7">
      <x:c r="A36" s="10">
        <x:f>IF(B36="","",30)</x:f>
      </x:c>
      <x:c r="B36" s="10">
        <x:f>IFERROR(SUMPRODUCT(($F$40:$F$54=LARGE($F$40:$F$54,30))*$A$40:$A$54),"")</x:f>
      </x:c>
      <x:c r="C36" s="10">
        <x:f>IF(B36="","",IFERROR(SUMPRODUCT(MAX(($A$40:$A$54=B36)*$C$40:$C$54)),0))</x:f>
      </x:c>
      <x:c r="D36" s="11">
        <x:f>IF(B36="","",SUMPRODUCT(($A$40:$A$54=B36)*ISNUMBER($F$40:$F$54)*($C$40:$C$54=C36)*$B$40:$B$54))</x:f>
      </x:c>
    </x:row>
    <x:row r="38" spans="1:7">
      <x:c r="A38" s="2" t="s">
        <x:v>10</x:v>
      </x:c>
    </x:row>
    <x:row r="39" spans="1:7">
      <x:c r="A39" s="3" t="s">
        <x:v>7</x:v>
      </x:c>
      <x:c r="B39" s="3" t="s">
        <x:v>11</x:v>
      </x:c>
      <x:c r="C39" s="3" t="s">
        <x:v>12</x:v>
      </x:c>
      <x:c r="D39" s="3" t="s">
        <x:v>6</x:v>
      </x:c>
      <x:c r="E39" s="3" t="s">
        <x:v>13</x:v>
      </x:c>
      <x:c r="F39" s="3" t="s">
        <x:v>14</x:v>
      </x:c>
      <x:c r="G39" s="3" t="s">
        <x:v>15</x:v>
      </x:c>
    </x:row>
    <x:row r="40" spans="1:7">
      <x:c r="A40" s="10">
        <x:v>1</x:v>
      </x:c>
      <x:c r="B40" s="11">
        <x:v>46174.4640590162</x:v>
      </x:c>
      <x:c r="C40" s="10">
        <x:v>1</x:v>
      </x:c>
      <x:c r="D40" s="10">
        <x:v>1</x:v>
      </x:c>
      <x:c r="E40" s="13">
        <x:v>0.00104166666666667</x:v>
      </x:c>
      <x:c r="F40" s="10">
        <x:f>IF(C40=SUMPRODUCT(MAX(($A$40:$A$54=A40)*$C$40:$C$54)),C40-MOD(B40,1),"")</x:f>
      </x:c>
      <x:c r="G40" s="10">
        <x:f>(C40=SUMPRODUCT(MAX(($A$40:$A$54=A40)*$C$40:$C$54)))*1</x:f>
      </x:c>
    </x:row>
    <x:row r="41" spans="1:7">
      <x:c r="A41" s="0">
        <x:v>2588</x:v>
      </x:c>
      <x:c r="B41" s="12">
        <x:v>46174.4651006829</x:v>
      </x:c>
      <x:c r="C41" s="0">
        <x:v>1</x:v>
      </x:c>
      <x:c r="D41" s="0">
        <x:v>2</x:v>
      </x:c>
      <x:c r="E41" s="14">
        <x:v>0.00208333333333333</x:v>
      </x:c>
      <x:c r="F41" s="0">
        <x:f>IF(C41=SUMPRODUCT(MAX(($A$40:$A$54=A41)*$C$40:$C$54)),C41-MOD(B41,1),"")</x:f>
      </x:c>
      <x:c r="G41" s="0">
        <x:f>(C41=SUMPRODUCT(MAX(($A$40:$A$54=A41)*$C$40:$C$54)))*1</x:f>
      </x:c>
    </x:row>
    <x:row r="42" spans="1:7">
      <x:c r="A42" s="10">
        <x:v>7</x:v>
      </x:c>
      <x:c r="B42" s="11">
        <x:v>46174.4661423495</x:v>
      </x:c>
      <x:c r="C42" s="10">
        <x:v>1</x:v>
      </x:c>
      <x:c r="D42" s="10">
        <x:v>3</x:v>
      </x:c>
      <x:c r="E42" s="13">
        <x:v>0.003125</x:v>
      </x:c>
      <x:c r="F42" s="10">
        <x:f>IF(C42=SUMPRODUCT(MAX(($A$40:$A$54=A42)*$C$40:$C$54)),C42-MOD(B42,1),"")</x:f>
      </x:c>
      <x:c r="G42" s="10">
        <x:f>(C42=SUMPRODUCT(MAX(($A$40:$A$54=A42)*$C$40:$C$54)))*1</x:f>
      </x:c>
    </x:row>
    <x:row r="43" spans="1:7">
      <x:c r="A43" s="0">
        <x:v>1</x:v>
      </x:c>
      <x:c r="B43" s="12">
        <x:v>46174.4671840162</x:v>
      </x:c>
      <x:c r="C43" s="0">
        <x:v>2</x:v>
      </x:c>
      <x:c r="D43" s="0">
        <x:v>1</x:v>
      </x:c>
      <x:c r="E43" s="14">
        <x:v>0.003125</x:v>
      </x:c>
      <x:c r="F43" s="0">
        <x:f>IF(C43=SUMPRODUCT(MAX(($A$40:$A$54=A43)*$C$40:$C$54)),C43-MOD(B43,1),"")</x:f>
      </x:c>
      <x:c r="G43" s="0">
        <x:f>(C43=SUMPRODUCT(MAX(($A$40:$A$54=A43)*$C$40:$C$54)))*1</x:f>
      </x:c>
    </x:row>
    <x:row r="44" spans="1:7">
      <x:c r="A44" s="10">
        <x:v>2</x:v>
      </x:c>
      <x:c r="B44" s="11">
        <x:v>46174.4682256829</x:v>
      </x:c>
      <x:c r="C44" s="10">
        <x:v>1</x:v>
      </x:c>
      <x:c r="D44" s="10">
        <x:v>4</x:v>
      </x:c>
      <x:c r="E44" s="13">
        <x:v>0.00520833333333333</x:v>
      </x:c>
      <x:c r="F44" s="10">
        <x:f>IF(C44=SUMPRODUCT(MAX(($A$40:$A$54=A44)*$C$40:$C$54)),C44-MOD(B44,1),"")</x:f>
      </x:c>
      <x:c r="G44" s="10">
        <x:f>(C44=SUMPRODUCT(MAX(($A$40:$A$54=A44)*$C$40:$C$54)))*1</x:f>
      </x:c>
    </x:row>
    <x:row r="45" spans="1:7">
      <x:c r="A45" s="0">
        <x:v>1</x:v>
      </x:c>
      <x:c r="B45" s="12">
        <x:v>46174.4692673495</x:v>
      </x:c>
      <x:c r="C45" s="0">
        <x:v>3</x:v>
      </x:c>
      <x:c r="D45" s="0">
        <x:v>1</x:v>
      </x:c>
      <x:c r="E45" s="14">
        <x:v>0.00208333333333333</x:v>
      </x:c>
      <x:c r="F45" s="0">
        <x:f>IF(C45=SUMPRODUCT(MAX(($A$40:$A$54=A45)*$C$40:$C$54)),C45-MOD(B45,1),"")</x:f>
      </x:c>
      <x:c r="G45" s="0">
        <x:f>(C45=SUMPRODUCT(MAX(($A$40:$A$54=A45)*$C$40:$C$54)))*1</x:f>
      </x:c>
    </x:row>
    <x:row r="46" spans="1:7">
      <x:c r="A46" s="10">
        <x:v>2</x:v>
      </x:c>
      <x:c r="B46" s="11">
        <x:v>46174.4703090162</x:v>
      </x:c>
      <x:c r="C46" s="10">
        <x:v>2</x:v>
      </x:c>
      <x:c r="D46" s="10">
        <x:v>2</x:v>
      </x:c>
      <x:c r="E46" s="13">
        <x:v>0.00208333333333333</x:v>
      </x:c>
      <x:c r="F46" s="10">
        <x:f>IF(C46=SUMPRODUCT(MAX(($A$40:$A$54=A46)*$C$40:$C$54)),C46-MOD(B46,1),"")</x:f>
      </x:c>
      <x:c r="G46" s="10">
        <x:f>(C46=SUMPRODUCT(MAX(($A$40:$A$54=A46)*$C$40:$C$54)))*1</x:f>
      </x:c>
    </x:row>
    <x:row r="47" spans="1:7">
      <x:c r="A47" s="0">
        <x:v>85</x:v>
      </x:c>
      <x:c r="B47" s="12">
        <x:v>46174.4713506829</x:v>
      </x:c>
      <x:c r="C47" s="0">
        <x:v>1</x:v>
      </x:c>
      <x:c r="D47" s="0">
        <x:v>5</x:v>
      </x:c>
      <x:c r="E47" s="14">
        <x:v>0.00833333333333333</x:v>
      </x:c>
      <x:c r="F47" s="0">
        <x:f>IF(C47=SUMPRODUCT(MAX(($A$40:$A$54=A47)*$C$40:$C$54)),C47-MOD(B47,1),"")</x:f>
      </x:c>
      <x:c r="G47" s="0">
        <x:f>(C47=SUMPRODUCT(MAX(($A$40:$A$54=A47)*$C$40:$C$54)))*1</x:f>
      </x:c>
    </x:row>
    <x:row r="48" spans="1:7">
      <x:c r="A48" s="10">
        <x:v>1</x:v>
      </x:c>
      <x:c r="B48" s="11">
        <x:v>46174.4723923495</x:v>
      </x:c>
      <x:c r="C48" s="10">
        <x:v>4</x:v>
      </x:c>
      <x:c r="D48" s="10">
        <x:v>1</x:v>
      </x:c>
      <x:c r="E48" s="13">
        <x:v>0.003125</x:v>
      </x:c>
      <x:c r="F48" s="10">
        <x:f>IF(C48=SUMPRODUCT(MAX(($A$40:$A$54=A48)*$C$40:$C$54)),C48-MOD(B48,1),"")</x:f>
      </x:c>
      <x:c r="G48" s="10">
        <x:f>(C48=SUMPRODUCT(MAX(($A$40:$A$54=A48)*$C$40:$C$54)))*1</x:f>
      </x:c>
    </x:row>
    <x:row r="49" spans="1:7">
      <x:c r="A49" s="0">
        <x:v>2</x:v>
      </x:c>
      <x:c r="B49" s="12">
        <x:v>46174.4734340162</x:v>
      </x:c>
      <x:c r="C49" s="0">
        <x:v>3</x:v>
      </x:c>
      <x:c r="D49" s="0">
        <x:v>2</x:v>
      </x:c>
      <x:c r="E49" s="14">
        <x:v>0.003125</x:v>
      </x:c>
      <x:c r="F49" s="0">
        <x:f>IF(C49=SUMPRODUCT(MAX(($A$40:$A$54=A49)*$C$40:$C$54)),C49-MOD(B49,1),"")</x:f>
      </x:c>
      <x:c r="G49" s="0">
        <x:f>(C49=SUMPRODUCT(MAX(($A$40:$A$54=A49)*$C$40:$C$54)))*1</x:f>
      </x:c>
    </x:row>
    <x:row r="50" spans="1:7">
      <x:c r="A50" s="10">
        <x:v>1</x:v>
      </x:c>
      <x:c r="B50" s="11">
        <x:v>46174.4744756829</x:v>
      </x:c>
      <x:c r="C50" s="10">
        <x:v>5</x:v>
      </x:c>
      <x:c r="D50" s="10">
        <x:v>1</x:v>
      </x:c>
      <x:c r="E50" s="13">
        <x:v>0.00208333333333333</x:v>
      </x:c>
      <x:c r="F50" s="10">
        <x:f>IF(C50=SUMPRODUCT(MAX(($A$40:$A$54=A50)*$C$40:$C$54)),C50-MOD(B50,1),"")</x:f>
      </x:c>
      <x:c r="G50" s="10">
        <x:f>(C50=SUMPRODUCT(MAX(($A$40:$A$54=A50)*$C$40:$C$54)))*1</x:f>
      </x:c>
    </x:row>
    <x:row r="51" spans="1:7">
      <x:c r="A51" s="0">
        <x:v>2588</x:v>
      </x:c>
      <x:c r="B51" s="12">
        <x:v>46174.4755173495</x:v>
      </x:c>
      <x:c r="C51" s="0">
        <x:v>2</x:v>
      </x:c>
      <x:c r="D51" s="0">
        <x:v>3</x:v>
      </x:c>
      <x:c r="E51" s="14">
        <x:v>0.0104166666666667</x:v>
      </x:c>
      <x:c r="F51" s="0">
        <x:f>IF(C51=SUMPRODUCT(MAX(($A$40:$A$54=A51)*$C$40:$C$54)),C51-MOD(B51,1),"")</x:f>
      </x:c>
      <x:c r="G51" s="0">
        <x:f>(C51=SUMPRODUCT(MAX(($A$40:$A$54=A51)*$C$40:$C$54)))*1</x:f>
      </x:c>
    </x:row>
    <x:row r="52" spans="1:7">
      <x:c r="A52" s="10">
        <x:v>7</x:v>
      </x:c>
      <x:c r="B52" s="11">
        <x:v>46174.4765590162</x:v>
      </x:c>
      <x:c r="C52" s="10">
        <x:v>2</x:v>
      </x:c>
      <x:c r="D52" s="10">
        <x:v>4</x:v>
      </x:c>
      <x:c r="E52" s="13">
        <x:v>0.0104166666666667</x:v>
      </x:c>
      <x:c r="F52" s="10">
        <x:f>IF(C52=SUMPRODUCT(MAX(($A$40:$A$54=A52)*$C$40:$C$54)),C52-MOD(B52,1),"")</x:f>
      </x:c>
      <x:c r="G52" s="10">
        <x:f>(C52=SUMPRODUCT(MAX(($A$40:$A$54=A52)*$C$40:$C$54)))*1</x:f>
      </x:c>
    </x:row>
    <x:row r="53" spans="1:7">
      <x:c r="A53" s="0">
        <x:v>2</x:v>
      </x:c>
      <x:c r="B53" s="12">
        <x:v>46174.4776006829</x:v>
      </x:c>
      <x:c r="C53" s="0">
        <x:v>4</x:v>
      </x:c>
      <x:c r="D53" s="0">
        <x:v>2</x:v>
      </x:c>
      <x:c r="E53" s="14">
        <x:v>0.00416666666666667</x:v>
      </x:c>
      <x:c r="F53" s="0">
        <x:f>IF(C53=SUMPRODUCT(MAX(($A$40:$A$54=A53)*$C$40:$C$54)),C53-MOD(B53,1),"")</x:f>
      </x:c>
      <x:c r="G53" s="0">
        <x:f>(C53=SUMPRODUCT(MAX(($A$40:$A$54=A53)*$C$40:$C$54)))*1</x:f>
      </x:c>
    </x:row>
    <x:row r="54" spans="1:7">
      <x:c r="A54" s="10">
        <x:v>85</x:v>
      </x:c>
      <x:c r="B54" s="11">
        <x:v>46174.4786423495</x:v>
      </x:c>
      <x:c r="C54" s="10">
        <x:v>2</x:v>
      </x:c>
      <x:c r="D54" s="10">
        <x:v>5</x:v>
      </x:c>
      <x:c r="E54" s="13">
        <x:v>0.00729166666666667</x:v>
      </x:c>
      <x:c r="F54" s="10">
        <x:f>IF(C54=SUMPRODUCT(MAX(($A$40:$A$54=A54)*$C$40:$C$54)),C54-MOD(B54,1),"")</x:f>
      </x:c>
      <x:c r="G54" s="10">
        <x:f>(C54=SUMPRODUCT(MAX(($A$40:$A$54=A54)*$C$40:$C$54)))*1</x:f>
      </x:c>
    </x:row>
  </x:sheetData>
  <x:mergeCells count="3">
    <x:mergeCell ref="A1:E1"/>
    <x:mergeCell ref="A5:D5"/>
    <x:mergeCell ref="A38:G3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Résultats</vt:lpstr>
      <vt:lpstr>Résultats!Print_Area</vt:lpstr>
      <vt:lpstr>Résultats!Print_Titles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